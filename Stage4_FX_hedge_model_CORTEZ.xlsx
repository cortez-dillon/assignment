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dilloncortez/Downloads/"/>
    </mc:Choice>
  </mc:AlternateContent>
  <xr:revisionPtr revIDLastSave="0" documentId="8_{6A2C0F2F-FAD5-A24C-9D6A-BBB78DD1EE6F}" xr6:coauthVersionLast="47" xr6:coauthVersionMax="47" xr10:uidLastSave="{00000000-0000-0000-0000-000000000000}"/>
  <bookViews>
    <workbookView xWindow="0" yWindow="500" windowWidth="28800" windowHeight="16860" xr2:uid="{00000000-000D-0000-FFFF-FFFF00000000}"/>
  </bookViews>
  <sheets>
    <sheet name="FX Hedge Model" sheetId="1" r:id="rId1"/>
  </sheets>
  <definedNames>
    <definedName name="F0_in">'FX Hedge Model'!$D$5</definedName>
    <definedName name="FC_AMT">'FX Hedge Model'!$D$3</definedName>
    <definedName name="K_CALL">'FX Hedge Model'!$D$11</definedName>
    <definedName name="K_PUT">'FX Hedge Model'!$D$9</definedName>
    <definedName name="PREM_CALL">'FX Hedge Model'!$D$12</definedName>
    <definedName name="PREM_PUT">'FX Hedge Model'!$D$10</definedName>
    <definedName name="R_FC">'FX Hedge Model'!$D$7</definedName>
    <definedName name="R_USD">'FX Hedge Model'!$D$6</definedName>
    <definedName name="S0_in">'FX Hedge Model'!$D$4</definedName>
    <definedName name="T_DAYS">'FX Hedge Model'!$D$8</definedName>
    <definedName name="T_YRS">'FX Hedge Model'!$D$13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9" i="1" l="1"/>
  <c r="A30" i="1" s="1"/>
  <c r="D16" i="1"/>
  <c r="C36" i="1" s="1"/>
  <c r="D13" i="1"/>
  <c r="D19" i="1" s="1"/>
  <c r="D20" i="1" s="1"/>
  <c r="D21" i="1" s="1"/>
  <c r="D39" i="1" l="1"/>
  <c r="D35" i="1"/>
  <c r="D31" i="1"/>
  <c r="B43" i="1"/>
  <c r="D38" i="1"/>
  <c r="D34" i="1"/>
  <c r="D30" i="1"/>
  <c r="D37" i="1"/>
  <c r="D33" i="1"/>
  <c r="D29" i="1"/>
  <c r="D36" i="1"/>
  <c r="D32" i="1"/>
  <c r="E30" i="1"/>
  <c r="A31" i="1"/>
  <c r="B30" i="1"/>
  <c r="D24" i="1"/>
  <c r="D25" i="1" s="1"/>
  <c r="C29" i="1"/>
  <c r="C33" i="1"/>
  <c r="C37" i="1"/>
  <c r="C30" i="1"/>
  <c r="C34" i="1"/>
  <c r="C38" i="1"/>
  <c r="B42" i="1"/>
  <c r="E29" i="1"/>
  <c r="C31" i="1"/>
  <c r="C35" i="1"/>
  <c r="C39" i="1"/>
  <c r="B29" i="1"/>
  <c r="C32" i="1"/>
  <c r="A32" i="1" l="1"/>
  <c r="B31" i="1"/>
  <c r="E31" i="1"/>
  <c r="A33" i="1" l="1"/>
  <c r="B32" i="1"/>
  <c r="E32" i="1"/>
  <c r="A34" i="1" l="1"/>
  <c r="B33" i="1"/>
  <c r="E33" i="1"/>
  <c r="E34" i="1" l="1"/>
  <c r="A35" i="1"/>
  <c r="B34" i="1"/>
  <c r="A36" i="1" l="1"/>
  <c r="B35" i="1"/>
  <c r="E35" i="1"/>
  <c r="A37" i="1" l="1"/>
  <c r="B36" i="1"/>
  <c r="E36" i="1"/>
  <c r="A38" i="1" l="1"/>
  <c r="B37" i="1"/>
  <c r="E37" i="1"/>
  <c r="E38" i="1" l="1"/>
  <c r="A39" i="1"/>
  <c r="B38" i="1"/>
  <c r="E39" i="1" l="1"/>
  <c r="B39" i="1"/>
  <c r="B44" i="1" l="1"/>
  <c r="B45" i="1"/>
</calcChain>
</file>

<file path=xl/sharedStrings.xml><?xml version="1.0" encoding="utf-8"?>
<sst xmlns="http://schemas.openxmlformats.org/spreadsheetml/2006/main" count="71" uniqueCount="54">
  <si>
    <t>I. Inputs and Assumptions</t>
  </si>
  <si>
    <t>Variable</t>
  </si>
  <si>
    <t>Description</t>
  </si>
  <si>
    <t>Unit</t>
  </si>
  <si>
    <t>Value</t>
  </si>
  <si>
    <t>Named Range</t>
  </si>
  <si>
    <t>FC_AMT</t>
  </si>
  <si>
    <t>Foreign currency receivable</t>
  </si>
  <si>
    <t>EUR</t>
  </si>
  <si>
    <t>S0_in</t>
  </si>
  <si>
    <t>Current EUR/USD Spot Rate</t>
  </si>
  <si>
    <t>USD/EUR</t>
  </si>
  <si>
    <t>F0_in</t>
  </si>
  <si>
    <t>1-year EUR/USD Forward Rate</t>
  </si>
  <si>
    <t>R_USD</t>
  </si>
  <si>
    <t>1-year USD Interest Rate</t>
  </si>
  <si>
    <t>% p.a.</t>
  </si>
  <si>
    <t>R_FC</t>
  </si>
  <si>
    <t>1-year EUR Interest Rate</t>
  </si>
  <si>
    <t>T_DAYS</t>
  </si>
  <si>
    <t>Time to Maturity (in Days)</t>
  </si>
  <si>
    <t>Days</t>
  </si>
  <si>
    <t>K_PUT</t>
  </si>
  <si>
    <t>Put Option Strike Price</t>
  </si>
  <si>
    <t>PREM_PUT</t>
  </si>
  <si>
    <t>Put Option Premium</t>
  </si>
  <si>
    <t>K_CALL</t>
  </si>
  <si>
    <t>Call Option Strike Price</t>
  </si>
  <si>
    <t>PREM_CALL</t>
  </si>
  <si>
    <t>Call Option Premium</t>
  </si>
  <si>
    <t>T_YRS</t>
  </si>
  <si>
    <t>Time to Maturity (Years)</t>
  </si>
  <si>
    <t>Years</t>
  </si>
  <si>
    <t>II. Forward Hedge Calculation</t>
  </si>
  <si>
    <t>USDforward (Total USD proceeds)</t>
  </si>
  <si>
    <t>Formula</t>
  </si>
  <si>
    <t>III. Money Market (MM) Hedge Calculation (3-Step Logic)</t>
  </si>
  <si>
    <t>Step 1: Borrow FC Today (EUR)</t>
  </si>
  <si>
    <t>Step 2: Convert to USD Today</t>
  </si>
  <si>
    <t>Step 3: Future USD Proceeds (USDmm)</t>
  </si>
  <si>
    <t>IV. Synthetic Forward Rate (Parity Check)</t>
  </si>
  <si>
    <t>F_calc (Theoretical Forward)</t>
  </si>
  <si>
    <t>Parity Deviation (F0_in - F_calc)</t>
  </si>
  <si>
    <t>V. Sensitivity Analysis and Option Payoff Table</t>
  </si>
  <si>
    <t>S_T (Future Spot)</t>
  </si>
  <si>
    <t>Unhedged Proceeds</t>
  </si>
  <si>
    <t>Forward Hedge Proceeds</t>
  </si>
  <si>
    <t>Money Market Hedge Proceeds</t>
  </si>
  <si>
    <t>Put Option Hedge Proceeds</t>
  </si>
  <si>
    <t>VI. Summary Outputs</t>
  </si>
  <si>
    <t>Forward Hedge (Certain USD)</t>
  </si>
  <si>
    <t>MM Hedge (Certain USD)</t>
  </si>
  <si>
    <t>Put Option Hedge (Minimum USD)</t>
  </si>
  <si>
    <t>Put Option Hedge (Maximum USD)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</si>
</sst>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B7DEE8"/>
        <bgColor rgb="FFB7DEE8"/>
      </patternFill>
    </fill>
    <fill>
      <patternFill patternType="solid">
        <fgColor rgb="FFD9D9D9"/>
        <bgColor rgb="FFD9D9D9"/>
      </patternFill>
    </fill>
    <fill>
      <patternFill patternType="solid">
        <fgColor rgb="FFCCFFCC"/>
        <bgColor rgb="FF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  <xf numFmtId="0" fontId="0" fillId="2" borderId="0" xfId="0" applyFill="1"/>
    <xf numFmtId="0" fontId="0" fillId="3" borderId="0" xfId="0" applyFill="1"/>
    <xf numFmtId="2" fontId="0" fillId="4" borderId="0" xfId="0" applyNumberFormat="1" applyFill="1"/>
    <xf numFmtId="2" fontId="0" fillId="5" borderId="0" xfId="0" applyNumberFormat="1" applyFill="1"/>
    <xf numFmtId="164" fontId="0" fillId="5" borderId="0" xfId="0" applyNumberFormat="1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5"/>
  <sheetViews>
    <sheetView tabSelected="1" zoomScale="125" workbookViewId="0">
      <pane ySplit="2" topLeftCell="A3" activePane="bottomLeft" state="frozen"/>
      <selection pane="bottomLeft"/>
    </sheetView>
  </sheetViews>
  <sheetFormatPr baseColWidth="10" defaultColWidth="8.83203125" defaultRowHeight="15" x14ac:dyDescent="0.2"/>
  <cols>
    <col min="1" max="1" width="36" customWidth="1"/>
    <col min="2" max="3" width="22" customWidth="1"/>
    <col min="4" max="4" width="26" customWidth="1"/>
    <col min="5" max="5" width="32" customWidth="1"/>
    <col min="6" max="6" width="18" customWidth="1"/>
  </cols>
  <sheetData>
    <row r="1" spans="1:5" x14ac:dyDescent="0.2">
      <c r="A1" s="1" t="s">
        <v>0</v>
      </c>
    </row>
    <row r="2" spans="1:5" x14ac:dyDescent="0.2">
      <c r="A2" s="2" t="s">
        <v>1</v>
      </c>
      <c r="B2" s="3" t="s">
        <v>2</v>
      </c>
      <c r="C2" t="s">
        <v>3</v>
      </c>
      <c r="D2" t="s">
        <v>4</v>
      </c>
      <c r="E2" t="s">
        <v>5</v>
      </c>
    </row>
    <row r="3" spans="1:5" x14ac:dyDescent="0.2">
      <c r="A3" s="4" t="s">
        <v>6</v>
      </c>
      <c r="B3" t="s">
        <v>7</v>
      </c>
      <c r="C3" t="s">
        <v>8</v>
      </c>
      <c r="D3" s="5">
        <v>20000000</v>
      </c>
      <c r="E3" t="s">
        <v>6</v>
      </c>
    </row>
    <row r="4" spans="1:5" x14ac:dyDescent="0.2">
      <c r="A4" s="4" t="s">
        <v>9</v>
      </c>
      <c r="B4" t="s">
        <v>10</v>
      </c>
      <c r="C4" t="s">
        <v>11</v>
      </c>
      <c r="D4" s="5">
        <v>1.1538999999999999</v>
      </c>
      <c r="E4" t="s">
        <v>9</v>
      </c>
    </row>
    <row r="5" spans="1:5" x14ac:dyDescent="0.2">
      <c r="A5" s="4" t="s">
        <v>12</v>
      </c>
      <c r="B5" t="s">
        <v>13</v>
      </c>
      <c r="C5" t="s">
        <v>11</v>
      </c>
      <c r="D5" s="6">
        <v>1.0934999999999999</v>
      </c>
      <c r="E5" t="s">
        <v>12</v>
      </c>
    </row>
    <row r="6" spans="1:5" x14ac:dyDescent="0.2">
      <c r="A6" s="4" t="s">
        <v>14</v>
      </c>
      <c r="B6" t="s">
        <v>15</v>
      </c>
      <c r="C6" t="s">
        <v>16</v>
      </c>
      <c r="D6" s="6">
        <v>3.6999999999999998E-2</v>
      </c>
      <c r="E6" t="s">
        <v>14</v>
      </c>
    </row>
    <row r="7" spans="1:5" x14ac:dyDescent="0.2">
      <c r="A7" s="4" t="s">
        <v>17</v>
      </c>
      <c r="B7" t="s">
        <v>18</v>
      </c>
      <c r="C7" t="s">
        <v>16</v>
      </c>
      <c r="D7" s="6">
        <v>2.1999999999999999E-2</v>
      </c>
      <c r="E7" t="s">
        <v>17</v>
      </c>
    </row>
    <row r="8" spans="1:5" x14ac:dyDescent="0.2">
      <c r="A8" s="4" t="s">
        <v>19</v>
      </c>
      <c r="B8" t="s">
        <v>20</v>
      </c>
      <c r="C8" t="s">
        <v>21</v>
      </c>
      <c r="D8" s="6">
        <v>365</v>
      </c>
      <c r="E8" t="s">
        <v>19</v>
      </c>
    </row>
    <row r="9" spans="1:5" x14ac:dyDescent="0.2">
      <c r="A9" s="4" t="s">
        <v>22</v>
      </c>
      <c r="B9" t="s">
        <v>23</v>
      </c>
      <c r="C9" t="s">
        <v>11</v>
      </c>
      <c r="D9" s="5">
        <v>1.1538999999999999</v>
      </c>
      <c r="E9" t="s">
        <v>22</v>
      </c>
    </row>
    <row r="10" spans="1:5" x14ac:dyDescent="0.2">
      <c r="A10" s="4" t="s">
        <v>24</v>
      </c>
      <c r="B10" t="s">
        <v>25</v>
      </c>
      <c r="C10" t="s">
        <v>11</v>
      </c>
      <c r="D10" s="5">
        <v>1.9E-2</v>
      </c>
      <c r="E10" t="s">
        <v>24</v>
      </c>
    </row>
    <row r="11" spans="1:5" x14ac:dyDescent="0.2">
      <c r="A11" s="4" t="s">
        <v>26</v>
      </c>
      <c r="B11" t="s">
        <v>27</v>
      </c>
      <c r="C11" t="s">
        <v>11</v>
      </c>
      <c r="D11" s="5">
        <v>1.1538999999999999</v>
      </c>
      <c r="E11" t="s">
        <v>26</v>
      </c>
    </row>
    <row r="12" spans="1:5" x14ac:dyDescent="0.2">
      <c r="A12" s="4" t="s">
        <v>28</v>
      </c>
      <c r="B12" t="s">
        <v>29</v>
      </c>
      <c r="C12" t="s">
        <v>11</v>
      </c>
      <c r="D12" s="5">
        <v>2.4E-2</v>
      </c>
      <c r="E12" t="s">
        <v>28</v>
      </c>
    </row>
    <row r="13" spans="1:5" x14ac:dyDescent="0.2">
      <c r="A13" t="s">
        <v>30</v>
      </c>
      <c r="B13" t="s">
        <v>31</v>
      </c>
      <c r="C13" t="s">
        <v>32</v>
      </c>
      <c r="D13" s="6">
        <f>D8/365</f>
        <v>1</v>
      </c>
      <c r="E13" t="s">
        <v>30</v>
      </c>
    </row>
    <row r="15" spans="1:5" x14ac:dyDescent="0.2">
      <c r="A15" s="1" t="s">
        <v>33</v>
      </c>
    </row>
    <row r="16" spans="1:5" x14ac:dyDescent="0.2">
      <c r="A16" t="s">
        <v>34</v>
      </c>
      <c r="B16" t="s">
        <v>35</v>
      </c>
      <c r="D16" s="7">
        <f>FC_AMT * F0_in</f>
        <v>21870000</v>
      </c>
    </row>
    <row r="18" spans="1:5" x14ac:dyDescent="0.2">
      <c r="A18" s="1" t="s">
        <v>36</v>
      </c>
    </row>
    <row r="19" spans="1:5" x14ac:dyDescent="0.2">
      <c r="A19" t="s">
        <v>37</v>
      </c>
      <c r="D19" s="8">
        <f>FC_AMT / (1 + R_FC * T_YRS)</f>
        <v>19569471.624266144</v>
      </c>
    </row>
    <row r="20" spans="1:5" x14ac:dyDescent="0.2">
      <c r="A20" t="s">
        <v>38</v>
      </c>
      <c r="D20" s="8">
        <f>D19 * S0_in</f>
        <v>22581213.307240702</v>
      </c>
    </row>
    <row r="21" spans="1:5" x14ac:dyDescent="0.2">
      <c r="A21" t="s">
        <v>39</v>
      </c>
      <c r="D21" s="7">
        <f>D20 * (1 + R_USD * T_YRS)</f>
        <v>23416718.199608605</v>
      </c>
    </row>
    <row r="23" spans="1:5" x14ac:dyDescent="0.2">
      <c r="A23" s="1" t="s">
        <v>40</v>
      </c>
    </row>
    <row r="24" spans="1:5" x14ac:dyDescent="0.2">
      <c r="A24" t="s">
        <v>41</v>
      </c>
      <c r="D24" s="9">
        <f>S0_in * ((1 + R_USD * T_YRS) / (1 + R_FC * T_YRS))</f>
        <v>1.1708359099804302</v>
      </c>
    </row>
    <row r="25" spans="1:5" x14ac:dyDescent="0.2">
      <c r="A25" t="s">
        <v>42</v>
      </c>
      <c r="D25" s="9">
        <f>F0_in - D24</f>
        <v>-7.7335909980430273E-2</v>
      </c>
    </row>
    <row r="27" spans="1:5" x14ac:dyDescent="0.2">
      <c r="A27" s="1" t="s">
        <v>43</v>
      </c>
    </row>
    <row r="28" spans="1:5" x14ac:dyDescent="0.2">
      <c r="A28" s="2" t="s">
        <v>44</v>
      </c>
      <c r="B28" s="2" t="s">
        <v>45</v>
      </c>
      <c r="C28" s="2" t="s">
        <v>46</v>
      </c>
      <c r="D28" s="2" t="s">
        <v>47</v>
      </c>
      <c r="E28" s="2" t="s">
        <v>48</v>
      </c>
    </row>
    <row r="29" spans="1:5" x14ac:dyDescent="0.2">
      <c r="A29">
        <f>0.95 * S0_in</f>
        <v>1.0962049999999999</v>
      </c>
      <c r="B29" s="8">
        <f t="shared" ref="B29:B39" si="0">FC_AMT * A29</f>
        <v>21924099.999999996</v>
      </c>
      <c r="C29" s="8">
        <f>D16</f>
        <v>21870000</v>
      </c>
      <c r="D29" s="8">
        <f>D21</f>
        <v>23416718.199608605</v>
      </c>
      <c r="E29" s="8">
        <f t="shared" ref="E29:E39" si="1">(FC_AMT * MAX(K_PUT, A29)) - (FC_AMT * PREM_PUT)</f>
        <v>22698000</v>
      </c>
    </row>
    <row r="30" spans="1:5" x14ac:dyDescent="0.2">
      <c r="A30">
        <f t="shared" ref="A30:A39" si="2">A29 + 0.01</f>
        <v>1.1062049999999999</v>
      </c>
      <c r="B30" s="8">
        <f t="shared" si="0"/>
        <v>22124099.999999996</v>
      </c>
      <c r="C30" s="8">
        <f>D16</f>
        <v>21870000</v>
      </c>
      <c r="D30" s="8">
        <f>D21</f>
        <v>23416718.199608605</v>
      </c>
      <c r="E30" s="8">
        <f t="shared" si="1"/>
        <v>22698000</v>
      </c>
    </row>
    <row r="31" spans="1:5" x14ac:dyDescent="0.2">
      <c r="A31">
        <f t="shared" si="2"/>
        <v>1.1162049999999999</v>
      </c>
      <c r="B31" s="8">
        <f t="shared" si="0"/>
        <v>22324099.999999996</v>
      </c>
      <c r="C31" s="8">
        <f>D16</f>
        <v>21870000</v>
      </c>
      <c r="D31" s="8">
        <f>D21</f>
        <v>23416718.199608605</v>
      </c>
      <c r="E31" s="8">
        <f t="shared" si="1"/>
        <v>22698000</v>
      </c>
    </row>
    <row r="32" spans="1:5" x14ac:dyDescent="0.2">
      <c r="A32">
        <f t="shared" si="2"/>
        <v>1.1262049999999999</v>
      </c>
      <c r="B32" s="8">
        <f t="shared" si="0"/>
        <v>22524099.999999996</v>
      </c>
      <c r="C32" s="8">
        <f>D16</f>
        <v>21870000</v>
      </c>
      <c r="D32" s="8">
        <f>D21</f>
        <v>23416718.199608605</v>
      </c>
      <c r="E32" s="8">
        <f t="shared" si="1"/>
        <v>22698000</v>
      </c>
    </row>
    <row r="33" spans="1:5" x14ac:dyDescent="0.2">
      <c r="A33">
        <f t="shared" si="2"/>
        <v>1.1362049999999999</v>
      </c>
      <c r="B33" s="8">
        <f t="shared" si="0"/>
        <v>22724100</v>
      </c>
      <c r="C33" s="8">
        <f>D16</f>
        <v>21870000</v>
      </c>
      <c r="D33" s="8">
        <f>D21</f>
        <v>23416718.199608605</v>
      </c>
      <c r="E33" s="8">
        <f t="shared" si="1"/>
        <v>22698000</v>
      </c>
    </row>
    <row r="34" spans="1:5" x14ac:dyDescent="0.2">
      <c r="A34">
        <f t="shared" si="2"/>
        <v>1.1462049999999999</v>
      </c>
      <c r="B34" s="8">
        <f t="shared" si="0"/>
        <v>22924100</v>
      </c>
      <c r="C34" s="8">
        <f>D16</f>
        <v>21870000</v>
      </c>
      <c r="D34" s="8">
        <f>D21</f>
        <v>23416718.199608605</v>
      </c>
      <c r="E34" s="8">
        <f t="shared" si="1"/>
        <v>22698000</v>
      </c>
    </row>
    <row r="35" spans="1:5" x14ac:dyDescent="0.2">
      <c r="A35">
        <f t="shared" si="2"/>
        <v>1.1562049999999999</v>
      </c>
      <c r="B35" s="8">
        <f t="shared" si="0"/>
        <v>23124100</v>
      </c>
      <c r="C35" s="8">
        <f>D16</f>
        <v>21870000</v>
      </c>
      <c r="D35" s="8">
        <f>D21</f>
        <v>23416718.199608605</v>
      </c>
      <c r="E35" s="8">
        <f t="shared" si="1"/>
        <v>22744100</v>
      </c>
    </row>
    <row r="36" spans="1:5" x14ac:dyDescent="0.2">
      <c r="A36">
        <f t="shared" si="2"/>
        <v>1.1662049999999999</v>
      </c>
      <c r="B36" s="8">
        <f t="shared" si="0"/>
        <v>23324100</v>
      </c>
      <c r="C36" s="8">
        <f>D16</f>
        <v>21870000</v>
      </c>
      <c r="D36" s="8">
        <f>D21</f>
        <v>23416718.199608605</v>
      </c>
      <c r="E36" s="8">
        <f t="shared" si="1"/>
        <v>22944100</v>
      </c>
    </row>
    <row r="37" spans="1:5" x14ac:dyDescent="0.2">
      <c r="A37">
        <f t="shared" si="2"/>
        <v>1.1762049999999999</v>
      </c>
      <c r="B37" s="8">
        <f t="shared" si="0"/>
        <v>23524100</v>
      </c>
      <c r="C37" s="8">
        <f>D16</f>
        <v>21870000</v>
      </c>
      <c r="D37" s="8">
        <f>D21</f>
        <v>23416718.199608605</v>
      </c>
      <c r="E37" s="8">
        <f t="shared" si="1"/>
        <v>23144100</v>
      </c>
    </row>
    <row r="38" spans="1:5" x14ac:dyDescent="0.2">
      <c r="A38">
        <f t="shared" si="2"/>
        <v>1.186205</v>
      </c>
      <c r="B38" s="8">
        <f t="shared" si="0"/>
        <v>23724100</v>
      </c>
      <c r="C38" s="8">
        <f>D16</f>
        <v>21870000</v>
      </c>
      <c r="D38" s="8">
        <f>D21</f>
        <v>23416718.199608605</v>
      </c>
      <c r="E38" s="8">
        <f t="shared" si="1"/>
        <v>23344100</v>
      </c>
    </row>
    <row r="39" spans="1:5" x14ac:dyDescent="0.2">
      <c r="A39">
        <f t="shared" si="2"/>
        <v>1.196205</v>
      </c>
      <c r="B39" s="8">
        <f t="shared" si="0"/>
        <v>23924100</v>
      </c>
      <c r="C39" s="8">
        <f>D16</f>
        <v>21870000</v>
      </c>
      <c r="D39" s="8">
        <f>D21</f>
        <v>23416718.199608605</v>
      </c>
      <c r="E39" s="8">
        <f t="shared" si="1"/>
        <v>23544100</v>
      </c>
    </row>
    <row r="41" spans="1:5" x14ac:dyDescent="0.2">
      <c r="A41" s="1" t="s">
        <v>49</v>
      </c>
    </row>
    <row r="42" spans="1:5" x14ac:dyDescent="0.2">
      <c r="A42" s="10" t="s">
        <v>50</v>
      </c>
      <c r="B42" s="7">
        <f>D16</f>
        <v>21870000</v>
      </c>
    </row>
    <row r="43" spans="1:5" x14ac:dyDescent="0.2">
      <c r="A43" s="10" t="s">
        <v>51</v>
      </c>
      <c r="B43" s="7">
        <f>D21</f>
        <v>23416718.199608605</v>
      </c>
    </row>
    <row r="44" spans="1:5" x14ac:dyDescent="0.2">
      <c r="A44" s="10" t="s">
        <v>52</v>
      </c>
      <c r="B44" s="7">
        <f>MIN(E29:E39)</f>
        <v>22698000</v>
      </c>
    </row>
    <row r="45" spans="1:5" x14ac:dyDescent="0.2">
      <c r="A45" s="10" t="s">
        <v>53</v>
      </c>
      <c r="B45" s="7">
        <f>MAX(E29:E39)</f>
        <v>23544100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11</vt:i4>
      </vt:variant>
    </vt:vector>
  </HeadingPairs>
  <TitlesOfParts>
    <vt:vector size="12" baseType="lpstr">
      <vt:lpstr>FX Hedge Model</vt:lpstr>
      <vt:lpstr>F0_in</vt:lpstr>
      <vt:lpstr>FC_AMT</vt:lpstr>
      <vt:lpstr>K_CALL</vt:lpstr>
      <vt:lpstr>K_PUT</vt:lpstr>
      <vt:lpstr>PREM_CALL</vt:lpstr>
      <vt:lpstr>PREM_PUT</vt:lpstr>
      <vt:lpstr>R_FC</vt:lpstr>
      <vt:lpstr>R_USD</vt:lpstr>
      <vt:lpstr>S0_in</vt:lpstr>
      <vt:lpstr>T_DAYS</vt:lpstr>
      <vt:lpstr>T_YRS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Dillon Cortez</cp:lastModifiedBy>
  <dcterms:created xsi:type="dcterms:W3CDTF">2025-12-12T10:13:46Z</dcterms:created>
  <dcterms:modified xsi:type="dcterms:W3CDTF">2025-12-12T10:20:02Z</dcterms:modified>
</cp:coreProperties>
</file>